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i\Downloads\Data Analyst\Excel_Data_Analytics_Course-main\0_Resources\Problems\6_Advanced_Analysis\"/>
    </mc:Choice>
  </mc:AlternateContent>
  <xr:revisionPtr revIDLastSave="0" documentId="13_ncr:1_{18053EE3-4205-4034-A73D-3B9A6B15F809}" xr6:coauthVersionLast="47" xr6:coauthVersionMax="47" xr10:uidLastSave="{00000000-0000-0000-0000-000000000000}"/>
  <bookViews>
    <workbookView xWindow="-98" yWindow="-98" windowWidth="22695" windowHeight="14476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<sst xmlns="http://schemas.openxmlformats.org/spreadsheetml/2006/main" count="43" uniqueCount="21">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</sst>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5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3" fillId="0" borderId="0" xfId="0" applyFont="1" applyAlignment="1">
      <alignment horizontal="center"/>
    </xf>
    <xf numFmtId="0" fontId="6" fillId="0" borderId="15" xfId="2" applyNumberFormat="1" applyFont="1" applyFill="1" applyBorder="1"/>
    <xf numFmtId="0" fontId="0" fillId="0" borderId="19" xfId="2" applyNumberFormat="1" applyFont="1" applyBorder="1"/>
    <xf numFmtId="0" fontId="0" fillId="0" borderId="17" xfId="2" applyNumberFormat="1" applyFont="1" applyBorder="1"/>
    <xf numFmtId="0" fontId="0" fillId="0" borderId="18" xfId="2" applyNumberFormat="1" applyFont="1" applyBorder="1"/>
    <xf numFmtId="0" fontId="0" fillId="0" borderId="3" xfId="2" applyNumberFormat="1" applyFont="1" applyBorder="1"/>
    <xf numFmtId="0" fontId="0" fillId="0" borderId="9" xfId="2" applyNumberFormat="1" applyFont="1" applyBorder="1"/>
    <xf numFmtId="0" fontId="0" fillId="0" borderId="4" xfId="2" applyNumberFormat="1" applyFont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6" xfId="2" applyNumberFormat="1" applyFont="1" applyBorder="1"/>
    <xf numFmtId="0" fontId="0" fillId="0" borderId="7" xfId="2" applyNumberFormat="1" applyFont="1" applyBorder="1"/>
    <xf numFmtId="0" fontId="0" fillId="0" borderId="10" xfId="2" applyNumberFormat="1" applyFont="1" applyBorder="1"/>
    <xf numFmtId="0" fontId="0" fillId="0" borderId="8" xfId="2" applyNumberFormat="1" applyFont="1" applyBorder="1"/>
    <xf numFmtId="0" fontId="0" fillId="3" borderId="15" xfId="0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5" fontId="0" fillId="0" borderId="20" xfId="2" applyNumberFormat="1" applyFont="1" applyBorder="1"/>
    <xf numFmtId="165" fontId="0" fillId="0" borderId="16" xfId="2" applyNumberFormat="1" applyFont="1" applyBorder="1"/>
    <xf numFmtId="165" fontId="0" fillId="0" borderId="19" xfId="2" applyNumberFormat="1" applyFont="1" applyBorder="1"/>
    <xf numFmtId="165" fontId="0" fillId="0" borderId="17" xfId="2" applyNumberFormat="1" applyFont="1" applyBorder="1"/>
    <xf numFmtId="165" fontId="0" fillId="0" borderId="20" xfId="2" applyNumberFormat="1" applyFont="1" applyFill="1" applyBorder="1"/>
    <xf numFmtId="164" fontId="0" fillId="0" borderId="3" xfId="1" applyNumberFormat="1" applyFont="1" applyBorder="1"/>
    <xf numFmtId="164" fontId="0" fillId="0" borderId="9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zoomScale="150" zoomScaleNormal="150" workbookViewId="0">
      <selection activeCell="C3" sqref="C3:C6"/>
    </sheetView>
  </sheetViews>
  <sheetFormatPr defaultRowHeight="14.25" x14ac:dyDescent="0.45"/>
  <cols>
    <col min="2" max="2" width="18.59765625" bestFit="1" customWidth="1"/>
    <col min="3" max="3" width="11.06640625" bestFit="1" customWidth="1"/>
    <col min="5" max="5" width="9.9296875" bestFit="1" customWidth="1"/>
    <col min="6" max="7" width="11.19921875" bestFit="1" customWidth="1"/>
    <col min="8" max="8" width="12.53125" bestFit="1" customWidth="1"/>
    <col min="9" max="9" width="12.06640625" bestFit="1" customWidth="1"/>
    <col min="10" max="10" width="8.9296875" bestFit="1" customWidth="1"/>
    <col min="11" max="11" width="10.46484375" customWidth="1"/>
  </cols>
  <sheetData>
    <row r="1" spans="2:11" ht="14.65" thickBot="1" x14ac:dyDescent="0.5"/>
    <row r="2" spans="2:11" x14ac:dyDescent="0.45">
      <c r="B2" s="40" t="s">
        <v>5</v>
      </c>
      <c r="C2" s="41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4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4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65" thickBot="1" x14ac:dyDescent="0.5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65" thickBot="1" x14ac:dyDescent="0.5">
      <c r="B6" s="6" t="s">
        <v>10</v>
      </c>
      <c r="C6" s="7">
        <v>4</v>
      </c>
    </row>
    <row r="7" spans="2:11" ht="14.65" thickBot="1" x14ac:dyDescent="0.5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4.65" thickBot="1" x14ac:dyDescent="0.5">
      <c r="B8" s="40" t="s">
        <v>4</v>
      </c>
      <c r="C8" s="41"/>
      <c r="E8" s="39"/>
      <c r="F8" s="27">
        <f>Year1</f>
        <v>9375</v>
      </c>
      <c r="G8" s="28">
        <f>Year2</f>
        <v>9375</v>
      </c>
      <c r="H8" s="28">
        <f>Year3</f>
        <v>9375</v>
      </c>
      <c r="I8" s="28">
        <f>Year4</f>
        <v>9375</v>
      </c>
      <c r="J8" s="28">
        <f>Year5</f>
        <v>0</v>
      </c>
      <c r="K8" s="29">
        <f>Total</f>
        <v>37500</v>
      </c>
    </row>
    <row r="9" spans="2:11" x14ac:dyDescent="0.45">
      <c r="B9" s="17" t="s">
        <v>11</v>
      </c>
      <c r="C9" s="18" t="s">
        <v>12</v>
      </c>
      <c r="E9" s="43">
        <v>25</v>
      </c>
      <c r="F9" s="30">
        <f t="dataTable" ref="F9:K16" dt2D="0" dtr="0" r1="C4"/>
        <v>0</v>
      </c>
      <c r="G9" s="31">
        <v>0</v>
      </c>
      <c r="H9" s="31">
        <v>0</v>
      </c>
      <c r="I9" s="31">
        <v>0</v>
      </c>
      <c r="J9" s="31">
        <v>0</v>
      </c>
      <c r="K9" s="32">
        <v>0</v>
      </c>
    </row>
    <row r="10" spans="2:11" x14ac:dyDescent="0.45">
      <c r="B10" s="19">
        <v>1</v>
      </c>
      <c r="C10" s="20">
        <f>IF($C$6&gt;=$B10,((($C$4-$C$3)*$C$5)/$C$6),0)</f>
        <v>9375</v>
      </c>
      <c r="E10" s="44">
        <v>30</v>
      </c>
      <c r="F10" s="33">
        <v>3125</v>
      </c>
      <c r="G10" s="34">
        <v>3125</v>
      </c>
      <c r="H10" s="34">
        <v>3125</v>
      </c>
      <c r="I10" s="34">
        <v>3125</v>
      </c>
      <c r="J10" s="34">
        <v>0</v>
      </c>
      <c r="K10" s="35">
        <v>12500</v>
      </c>
    </row>
    <row r="11" spans="2:11" x14ac:dyDescent="0.45">
      <c r="B11" s="19">
        <v>2</v>
      </c>
      <c r="C11" s="20">
        <f t="shared" ref="C11:C14" si="0">IF($C$6&gt;=$B11,((($C$4-$C$3)*$C$5)/$C$6),0)</f>
        <v>9375</v>
      </c>
      <c r="E11" s="43">
        <v>35</v>
      </c>
      <c r="F11" s="33">
        <v>6250</v>
      </c>
      <c r="G11" s="34">
        <v>6250</v>
      </c>
      <c r="H11" s="34">
        <v>6250</v>
      </c>
      <c r="I11" s="34">
        <v>6250</v>
      </c>
      <c r="J11" s="34">
        <v>0</v>
      </c>
      <c r="K11" s="35">
        <v>25000</v>
      </c>
    </row>
    <row r="12" spans="2:11" x14ac:dyDescent="0.45">
      <c r="B12" s="19">
        <v>3</v>
      </c>
      <c r="C12" s="20">
        <f t="shared" si="0"/>
        <v>9375</v>
      </c>
      <c r="E12" s="44">
        <v>40</v>
      </c>
      <c r="F12" s="33">
        <v>9375</v>
      </c>
      <c r="G12" s="34">
        <v>9375</v>
      </c>
      <c r="H12" s="34">
        <v>9375</v>
      </c>
      <c r="I12" s="34">
        <v>9375</v>
      </c>
      <c r="J12" s="34">
        <v>0</v>
      </c>
      <c r="K12" s="35">
        <v>37500</v>
      </c>
    </row>
    <row r="13" spans="2:11" x14ac:dyDescent="0.45">
      <c r="B13" s="19">
        <v>4</v>
      </c>
      <c r="C13" s="20">
        <f t="shared" si="0"/>
        <v>9375</v>
      </c>
      <c r="E13" s="43">
        <v>45</v>
      </c>
      <c r="F13" s="33">
        <v>12500</v>
      </c>
      <c r="G13" s="34">
        <v>12500</v>
      </c>
      <c r="H13" s="34">
        <v>12500</v>
      </c>
      <c r="I13" s="34">
        <v>12500</v>
      </c>
      <c r="J13" s="34">
        <v>0</v>
      </c>
      <c r="K13" s="35">
        <v>50000</v>
      </c>
    </row>
    <row r="14" spans="2:11" ht="14.65" thickBot="1" x14ac:dyDescent="0.5">
      <c r="B14" s="21">
        <v>5</v>
      </c>
      <c r="C14" s="22">
        <f t="shared" si="0"/>
        <v>0</v>
      </c>
      <c r="E14" s="44">
        <v>50</v>
      </c>
      <c r="F14" s="33">
        <v>15625</v>
      </c>
      <c r="G14" s="34">
        <v>15625</v>
      </c>
      <c r="H14" s="34">
        <v>15625</v>
      </c>
      <c r="I14" s="34">
        <v>15625</v>
      </c>
      <c r="J14" s="34">
        <v>0</v>
      </c>
      <c r="K14" s="35">
        <v>62500</v>
      </c>
    </row>
    <row r="15" spans="2:11" ht="15" thickTop="1" thickBot="1" x14ac:dyDescent="0.5">
      <c r="B15" s="23" t="s">
        <v>7</v>
      </c>
      <c r="C15" s="24">
        <f>SUM(C10:C14)</f>
        <v>37500</v>
      </c>
      <c r="E15" s="43">
        <v>55</v>
      </c>
      <c r="F15" s="33">
        <v>18750</v>
      </c>
      <c r="G15" s="34">
        <v>18750</v>
      </c>
      <c r="H15" s="34">
        <v>18750</v>
      </c>
      <c r="I15" s="34">
        <v>18750</v>
      </c>
      <c r="J15" s="34">
        <v>0</v>
      </c>
      <c r="K15" s="35">
        <v>75000</v>
      </c>
    </row>
    <row r="16" spans="2:11" ht="14.65" thickBot="1" x14ac:dyDescent="0.5">
      <c r="E16" s="44">
        <v>60</v>
      </c>
      <c r="F16" s="36">
        <v>21875</v>
      </c>
      <c r="G16" s="37">
        <v>21875</v>
      </c>
      <c r="H16" s="37">
        <v>21875</v>
      </c>
      <c r="I16" s="37">
        <v>21875</v>
      </c>
      <c r="J16" s="37">
        <v>0</v>
      </c>
      <c r="K16" s="38">
        <v>87500</v>
      </c>
    </row>
  </sheetData>
  <mergeCells count="2">
    <mergeCell ref="B8:C8"/>
    <mergeCell ref="B2:C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topLeftCell="A2" zoomScale="150" zoomScaleNormal="150" workbookViewId="0">
      <selection activeCell="I19" sqref="I19"/>
    </sheetView>
  </sheetViews>
  <sheetFormatPr defaultRowHeight="14.25" x14ac:dyDescent="0.45"/>
  <cols>
    <col min="2" max="2" width="18.59765625" bestFit="1" customWidth="1"/>
    <col min="3" max="3" width="11.06640625" bestFit="1" customWidth="1"/>
    <col min="5" max="5" width="10.53125" customWidth="1"/>
    <col min="6" max="7" width="11.265625" bestFit="1" customWidth="1"/>
    <col min="8" max="8" width="12.59765625" bestFit="1" customWidth="1"/>
    <col min="9" max="9" width="12.1328125" bestFit="1" customWidth="1"/>
    <col min="10" max="10" width="10" bestFit="1" customWidth="1"/>
    <col min="11" max="11" width="10.46484375" customWidth="1"/>
  </cols>
  <sheetData>
    <row r="1" spans="2:11" ht="14.65" thickBot="1" x14ac:dyDescent="0.5"/>
    <row r="2" spans="2:11" x14ac:dyDescent="0.45">
      <c r="B2" s="40" t="s">
        <v>5</v>
      </c>
      <c r="C2" s="41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45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4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65" thickBot="1" x14ac:dyDescent="0.5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65" thickBot="1" x14ac:dyDescent="0.5">
      <c r="B6" s="6" t="s">
        <v>10</v>
      </c>
      <c r="C6" s="7">
        <v>4</v>
      </c>
    </row>
    <row r="7" spans="2:11" ht="14.65" thickBot="1" x14ac:dyDescent="0.5">
      <c r="E7" s="25" t="s">
        <v>9</v>
      </c>
      <c r="F7" s="42" t="s">
        <v>0</v>
      </c>
      <c r="G7" s="42"/>
      <c r="H7" s="42"/>
      <c r="I7" s="42"/>
      <c r="J7" s="42"/>
      <c r="K7" s="42"/>
    </row>
    <row r="8" spans="2:11" ht="14.65" thickBot="1" x14ac:dyDescent="0.5">
      <c r="B8" s="40" t="s">
        <v>4</v>
      </c>
      <c r="C8" s="41"/>
      <c r="E8" s="26">
        <f>Total</f>
        <v>37500</v>
      </c>
      <c r="F8" s="45">
        <v>5</v>
      </c>
      <c r="G8" s="46">
        <v>10</v>
      </c>
      <c r="H8" s="45">
        <v>15</v>
      </c>
      <c r="I8" s="46">
        <v>20</v>
      </c>
      <c r="J8" s="45">
        <v>25</v>
      </c>
      <c r="K8" s="46">
        <v>30</v>
      </c>
    </row>
    <row r="9" spans="2:11" x14ac:dyDescent="0.45">
      <c r="B9" s="17" t="s">
        <v>11</v>
      </c>
      <c r="C9" s="18" t="s">
        <v>12</v>
      </c>
      <c r="E9" s="47">
        <v>25</v>
      </c>
      <c r="F9" s="48">
        <f t="dataTable" ref="F9:K16" dt2D="1" dtr="1" r1="C3" r2="C4"/>
        <v>50000</v>
      </c>
      <c r="G9" s="49">
        <v>37500</v>
      </c>
      <c r="H9" s="49">
        <v>25000</v>
      </c>
      <c r="I9" s="49">
        <v>12500</v>
      </c>
      <c r="J9" s="49">
        <v>0</v>
      </c>
      <c r="K9" s="50">
        <v>-12500</v>
      </c>
    </row>
    <row r="10" spans="2:11" x14ac:dyDescent="0.45">
      <c r="B10" s="19">
        <v>1</v>
      </c>
      <c r="C10" s="20">
        <f>IF($C$6&gt;=$B10,((($C$4-$C$3)*$C$5)/$C$6),0)</f>
        <v>9375</v>
      </c>
      <c r="E10" s="44">
        <v>30</v>
      </c>
      <c r="F10" s="51">
        <v>62500</v>
      </c>
      <c r="G10" s="2">
        <v>50000</v>
      </c>
      <c r="H10" s="2">
        <v>37500</v>
      </c>
      <c r="I10" s="2">
        <v>25000</v>
      </c>
      <c r="J10" s="2">
        <v>12500</v>
      </c>
      <c r="K10" s="52">
        <v>0</v>
      </c>
    </row>
    <row r="11" spans="2:11" x14ac:dyDescent="0.45">
      <c r="B11" s="19">
        <v>2</v>
      </c>
      <c r="C11" s="20">
        <f t="shared" ref="C11:C14" si="0">IF($C$6&gt;=$B11,((($C$4-$C$3)*$C$5)/$C$6),0)</f>
        <v>9375</v>
      </c>
      <c r="E11" s="47">
        <v>35</v>
      </c>
      <c r="F11" s="51">
        <v>75000</v>
      </c>
      <c r="G11" s="2">
        <v>62500</v>
      </c>
      <c r="H11" s="2">
        <v>50000</v>
      </c>
      <c r="I11" s="2">
        <v>37500</v>
      </c>
      <c r="J11" s="2">
        <v>25000</v>
      </c>
      <c r="K11" s="52">
        <v>12500</v>
      </c>
    </row>
    <row r="12" spans="2:11" x14ac:dyDescent="0.45">
      <c r="B12" s="19">
        <v>3</v>
      </c>
      <c r="C12" s="20">
        <f t="shared" si="0"/>
        <v>9375</v>
      </c>
      <c r="E12" s="44">
        <v>40</v>
      </c>
      <c r="F12" s="51">
        <v>87500</v>
      </c>
      <c r="G12" s="2">
        <v>75000</v>
      </c>
      <c r="H12" s="2">
        <v>62500</v>
      </c>
      <c r="I12" s="2">
        <v>50000</v>
      </c>
      <c r="J12" s="2">
        <v>37500</v>
      </c>
      <c r="K12" s="52">
        <v>25000</v>
      </c>
    </row>
    <row r="13" spans="2:11" x14ac:dyDescent="0.45">
      <c r="B13" s="19">
        <v>4</v>
      </c>
      <c r="C13" s="20">
        <f t="shared" si="0"/>
        <v>9375</v>
      </c>
      <c r="E13" s="47">
        <v>45</v>
      </c>
      <c r="F13" s="51">
        <v>100000</v>
      </c>
      <c r="G13" s="2">
        <v>87500</v>
      </c>
      <c r="H13" s="2">
        <v>75000</v>
      </c>
      <c r="I13" s="2">
        <v>62500</v>
      </c>
      <c r="J13" s="2">
        <v>50000</v>
      </c>
      <c r="K13" s="52">
        <v>37500</v>
      </c>
    </row>
    <row r="14" spans="2:11" ht="14.65" thickBot="1" x14ac:dyDescent="0.5">
      <c r="B14" s="21">
        <v>5</v>
      </c>
      <c r="C14" s="22">
        <f t="shared" si="0"/>
        <v>0</v>
      </c>
      <c r="E14" s="44">
        <v>50</v>
      </c>
      <c r="F14" s="51">
        <v>112500</v>
      </c>
      <c r="G14" s="2">
        <v>100000</v>
      </c>
      <c r="H14" s="2">
        <v>87500</v>
      </c>
      <c r="I14" s="2">
        <v>75000</v>
      </c>
      <c r="J14" s="2">
        <v>62500</v>
      </c>
      <c r="K14" s="52">
        <v>50000</v>
      </c>
    </row>
    <row r="15" spans="2:11" ht="15" thickTop="1" thickBot="1" x14ac:dyDescent="0.5">
      <c r="B15" s="23" t="s">
        <v>7</v>
      </c>
      <c r="C15" s="24">
        <f>SUM(C10:C14)</f>
        <v>37500</v>
      </c>
      <c r="E15" s="47">
        <v>55</v>
      </c>
      <c r="F15" s="51">
        <v>125000</v>
      </c>
      <c r="G15" s="2">
        <v>112500</v>
      </c>
      <c r="H15" s="2">
        <v>100000</v>
      </c>
      <c r="I15" s="2">
        <v>87500</v>
      </c>
      <c r="J15" s="2">
        <v>75000</v>
      </c>
      <c r="K15" s="52">
        <v>62500</v>
      </c>
    </row>
    <row r="16" spans="2:11" ht="14.65" thickBot="1" x14ac:dyDescent="0.5">
      <c r="E16" s="44">
        <v>60</v>
      </c>
      <c r="F16" s="53">
        <v>137500</v>
      </c>
      <c r="G16" s="15">
        <v>125000</v>
      </c>
      <c r="H16" s="15">
        <v>112500</v>
      </c>
      <c r="I16" s="15">
        <v>100000</v>
      </c>
      <c r="J16" s="15">
        <v>87500</v>
      </c>
      <c r="K16" s="54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theme="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Trinity Johnson</cp:lastModifiedBy>
  <dcterms:created xsi:type="dcterms:W3CDTF">2024-10-03T16:33:16Z</dcterms:created>
  <dcterms:modified xsi:type="dcterms:W3CDTF">2025-10-20T02:12:24Z</dcterms:modified>
</cp:coreProperties>
</file>