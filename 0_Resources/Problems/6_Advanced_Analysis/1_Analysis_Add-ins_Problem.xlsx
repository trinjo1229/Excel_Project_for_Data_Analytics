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i\Downloads\Data Analyst\Excel_Data_Analytics_Course-main\0_Resources\Problems\6_Advanced_Analysis\"/>
    </mc:Choice>
  </mc:AlternateContent>
  <xr:revisionPtr revIDLastSave="0" documentId="13_ncr:1_{D7E1E42F-47DD-46AA-8009-33F9F927C455}" xr6:coauthVersionLast="47" xr6:coauthVersionMax="47" xr10:uidLastSave="{00000000-0000-0000-0000-000000000000}"/>
  <bookViews>
    <workbookView xWindow="-98" yWindow="-98" windowWidth="22695" windowHeight="14476" activeTab="1" xr2:uid="{7520FE27-1537-4B08-B66C-E274CF35CCEC}"/>
  </bookViews>
  <sheets>
    <sheet name="Scenario Summary" sheetId="2" r:id="rId1"/>
    <sheet name="Answer Report 2" sheetId="4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Calculator'!$C$3</definedName>
    <definedName name="solver_lhs2" localSheetId="2" hidden="1">'Stock Option Calculator'!$C$4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hs1" localSheetId="2" hidden="1">17.5</definedName>
    <definedName name="solver_rhs2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<sst xmlns="http://schemas.openxmlformats.org/spreadsheetml/2006/main" count="90" uniqueCount="67">
  <si>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</si>
  <si>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</si>
  <si>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</si>
  <si>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</si>
  <si>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</si>
  <si>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</si>
  <si>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</si>
  <si>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</si>
  <si>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</si>
  <si>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</si>
  <si>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</si>
  <si>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</si>
  <si>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</si>
  <si>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</si>
  <si>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</si>
  <si>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</si>
  <si>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</si>
  <si>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</si>
  <si>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</si>
  <si>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</si>
  <si>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</si>
  <si>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</si>
  <si>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</si>
  <si>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</si>
  <si>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</si>
  <si>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Created by Trinidad James on 10/15/2025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</si>
  <si>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</si>
  <si>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</si>
  <si>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</si>
  <si>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</si>
  <si>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</si>
  <si>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</si>
  <si>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</si>
  <si>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</si>
  <si>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Worksheet: [1_Analysis_Add-ins_Problem.xlsx]Stock Option Calculator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</si>
  <si>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</si>
  <si>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</si>
  <si>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</si>
  <si>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</si>
  <si>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</si>
  <si>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</si>
  <si>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</si>
  <si>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</si>
  <si>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</si>
  <si>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</si>
  <si>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</si>
  <si>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</si>
  <si>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</si>
  <si>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</si>
  <si>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</si>
  <si>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</si>
  <si>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</si>
  <si>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</si>
  <si>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</si>
  <si>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</si>
  <si>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</si>
  <si>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</si>
  <si>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$C$4</t>
  </si>
  <si>
    <t>$C$15=60000</t>
  </si>
  <si>
    <t>Binding</t>
  </si>
  <si>
    <t>$C$3&gt;=17.5</t>
  </si>
  <si>
    <t>Not Binding</t>
  </si>
  <si>
    <t>$C$4&lt;=2800</t>
  </si>
  <si>
    <t>Report Created: 10/15/2025 7:34:20 AM</t>
  </si>
  <si>
    <t>Solution Time: 0.063 Seconds.</t>
  </si>
  <si>
    <t>Iterations: 3 Subproblems: 0</t>
  </si>
  <si>
    <t>$C$5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</si>
</sst>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6" fontId="0" fillId="0" borderId="0" xfId="0" applyNumberFormat="1" applyFill="1" applyBorder="1" applyAlignment="1"/>
    <xf numFmtId="164" fontId="0" fillId="0" borderId="0" xfId="0" applyNumberFormat="1" applyFill="1" applyBorder="1" applyAlignment="1"/>
    <xf numFmtId="6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6" fontId="0" fillId="5" borderId="0" xfId="0" applyNumberFormat="1" applyFill="1" applyBorder="1" applyAlignment="1"/>
    <xf numFmtId="164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4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A701-368F-4B9A-B61C-F9CAF85D88E0}">
  <sheetPr>
    <outlinePr summaryBelow="0"/>
  </sheetPr>
  <dimension ref="B1:G19"/>
  <sheetViews>
    <sheetView showGridLines="0" workbookViewId="0"/>
  </sheetViews>
  <sheetFormatPr defaultRowHeight="14.25" outlineLevelRow="1" outlineLevelCol="1" x14ac:dyDescent="0.45"/>
  <cols>
    <col min="3" max="3" width="6.6640625" bestFit="1" customWidth="1"/>
    <col min="4" max="7" width="11.86328125" bestFit="1" customWidth="1" outlineLevel="1"/>
  </cols>
  <sheetData>
    <row r="1" spans="2:7" ht="14.65" thickBot="1" x14ac:dyDescent="0.5"/>
    <row r="2" spans="2:7" ht="15.75" x14ac:dyDescent="0.5">
      <c r="B2" s="32" t="s">
        <v>26</v>
      </c>
      <c r="C2" s="32"/>
      <c r="D2" s="37"/>
      <c r="E2" s="37"/>
      <c r="F2" s="37"/>
      <c r="G2" s="37"/>
    </row>
    <row r="3" spans="2:7" ht="15.75" collapsed="1" x14ac:dyDescent="0.5">
      <c r="B3" s="31"/>
      <c r="C3" s="31"/>
      <c r="D3" s="38" t="s">
        <v>28</v>
      </c>
      <c r="E3" s="38" t="s">
        <v>13</v>
      </c>
      <c r="F3" s="38" t="s">
        <v>14</v>
      </c>
      <c r="G3" s="38" t="s">
        <v>15</v>
      </c>
    </row>
    <row r="4" spans="2:7" ht="31.5" hidden="1" outlineLevel="1" x14ac:dyDescent="0.45">
      <c r="B4" s="34"/>
      <c r="C4" s="34"/>
      <c r="D4" s="27"/>
      <c r="E4" s="42" t="s">
        <v>25</v>
      </c>
      <c r="F4" s="42" t="s">
        <v>25</v>
      </c>
      <c r="G4" s="42" t="s">
        <v>25</v>
      </c>
    </row>
    <row r="5" spans="2:7" x14ac:dyDescent="0.45">
      <c r="B5" s="35" t="s">
        <v>27</v>
      </c>
      <c r="C5" s="35"/>
      <c r="D5" s="33"/>
      <c r="E5" s="33"/>
      <c r="F5" s="33"/>
      <c r="G5" s="33"/>
    </row>
    <row r="6" spans="2:7" outlineLevel="1" x14ac:dyDescent="0.45">
      <c r="B6" s="34"/>
      <c r="C6" s="34" t="s">
        <v>16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 x14ac:dyDescent="0.45">
      <c r="B7" s="34"/>
      <c r="C7" s="34" t="s">
        <v>17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 x14ac:dyDescent="0.45">
      <c r="B8" s="34"/>
      <c r="C8" s="34" t="s">
        <v>18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 x14ac:dyDescent="0.45">
      <c r="B9" s="34"/>
      <c r="C9" s="34" t="s">
        <v>19</v>
      </c>
      <c r="D9" s="27">
        <v>4</v>
      </c>
      <c r="E9" s="41">
        <v>4</v>
      </c>
      <c r="F9" s="41">
        <v>5</v>
      </c>
      <c r="G9" s="41">
        <v>3</v>
      </c>
    </row>
    <row r="10" spans="2:7" x14ac:dyDescent="0.45">
      <c r="B10" s="35" t="s">
        <v>29</v>
      </c>
      <c r="C10" s="35"/>
      <c r="D10" s="33"/>
      <c r="E10" s="33"/>
      <c r="F10" s="33"/>
      <c r="G10" s="33"/>
    </row>
    <row r="11" spans="2:7" outlineLevel="1" x14ac:dyDescent="0.45">
      <c r="B11" s="34"/>
      <c r="C11" s="34" t="s">
        <v>20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 x14ac:dyDescent="0.45">
      <c r="B12" s="34"/>
      <c r="C12" s="34" t="s">
        <v>21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 x14ac:dyDescent="0.45">
      <c r="B13" s="34"/>
      <c r="C13" s="34" t="s">
        <v>22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 x14ac:dyDescent="0.45">
      <c r="B14" s="34"/>
      <c r="C14" s="34" t="s">
        <v>23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 x14ac:dyDescent="0.45">
      <c r="B15" s="34"/>
      <c r="C15" s="34" t="s">
        <v>24</v>
      </c>
      <c r="D15" s="28">
        <v>0</v>
      </c>
      <c r="E15" s="28">
        <v>0</v>
      </c>
      <c r="F15" s="28">
        <v>12000</v>
      </c>
      <c r="G15" s="28">
        <v>0</v>
      </c>
    </row>
    <row r="16" spans="2:7" ht="14.65" outlineLevel="1" thickBot="1" x14ac:dyDescent="0.5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 x14ac:dyDescent="0.45">
      <c r="B17" t="s">
        <v>30</v>
      </c>
    </row>
    <row r="18" spans="2:2" x14ac:dyDescent="0.45">
      <c r="B18" t="s">
        <v>31</v>
      </c>
    </row>
    <row r="19" spans="2:2" x14ac:dyDescent="0.45">
      <c r="B1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088C-C51C-4196-B867-2049F6EA0233}">
  <dimension ref="A1:G29"/>
  <sheetViews>
    <sheetView showGridLines="0" tabSelected="1" workbookViewId="0"/>
  </sheetViews>
  <sheetFormatPr defaultRowHeight="14.25" x14ac:dyDescent="0.45"/>
  <cols>
    <col min="1" max="1" width="2.1328125" customWidth="1"/>
    <col min="2" max="2" width="5.9296875" bestFit="1" customWidth="1"/>
    <col min="3" max="3" width="6.6640625" bestFit="1" customWidth="1"/>
    <col min="4" max="4" width="11.796875" bestFit="1" customWidth="1"/>
    <col min="5" max="5" width="11.9296875" bestFit="1" customWidth="1"/>
    <col min="6" max="6" width="9.796875" bestFit="1" customWidth="1"/>
    <col min="7" max="7" width="5.1328125" bestFit="1" customWidth="1"/>
  </cols>
  <sheetData>
    <row r="1" spans="1:5" x14ac:dyDescent="0.45">
      <c r="A1" s="43" t="s">
        <v>33</v>
      </c>
    </row>
    <row r="2" spans="1:5" x14ac:dyDescent="0.45">
      <c r="A2" s="43" t="s">
        <v>34</v>
      </c>
    </row>
    <row r="3" spans="1:5" x14ac:dyDescent="0.45">
      <c r="A3" s="43" t="s">
        <v>63</v>
      </c>
    </row>
    <row r="4" spans="1:5" x14ac:dyDescent="0.45">
      <c r="A4" s="43" t="s">
        <v>35</v>
      </c>
    </row>
    <row r="5" spans="1:5" x14ac:dyDescent="0.45">
      <c r="A5" s="43" t="s">
        <v>36</v>
      </c>
    </row>
    <row r="6" spans="1:5" x14ac:dyDescent="0.45">
      <c r="A6" s="43"/>
      <c r="B6" t="s">
        <v>37</v>
      </c>
    </row>
    <row r="7" spans="1:5" x14ac:dyDescent="0.45">
      <c r="A7" s="43"/>
      <c r="B7" t="s">
        <v>64</v>
      </c>
    </row>
    <row r="8" spans="1:5" x14ac:dyDescent="0.45">
      <c r="A8" s="43"/>
      <c r="B8" t="s">
        <v>65</v>
      </c>
    </row>
    <row r="9" spans="1:5" x14ac:dyDescent="0.45">
      <c r="A9" s="43" t="s">
        <v>38</v>
      </c>
    </row>
    <row r="10" spans="1:5" x14ac:dyDescent="0.45">
      <c r="B10" t="s">
        <v>39</v>
      </c>
    </row>
    <row r="11" spans="1:5" x14ac:dyDescent="0.45">
      <c r="B11" t="s">
        <v>40</v>
      </c>
    </row>
    <row r="12" spans="1:5" x14ac:dyDescent="0.45">
      <c r="B12" t="s">
        <v>41</v>
      </c>
    </row>
    <row r="14" spans="1:5" ht="14.65" thickBot="1" x14ac:dyDescent="0.5">
      <c r="A14" t="s">
        <v>42</v>
      </c>
    </row>
    <row r="15" spans="1:5" ht="14.65" thickBot="1" x14ac:dyDescent="0.5">
      <c r="B15" s="45" t="s">
        <v>43</v>
      </c>
      <c r="C15" s="45" t="s">
        <v>44</v>
      </c>
      <c r="D15" s="45" t="s">
        <v>45</v>
      </c>
      <c r="E15" s="45" t="s">
        <v>46</v>
      </c>
    </row>
    <row r="16" spans="1:5" ht="14.65" thickBot="1" x14ac:dyDescent="0.5">
      <c r="B16" s="44" t="s">
        <v>54</v>
      </c>
      <c r="C16" s="44" t="s">
        <v>7</v>
      </c>
      <c r="D16" s="47">
        <v>37500</v>
      </c>
      <c r="E16" s="47">
        <v>60000</v>
      </c>
    </row>
    <row r="19" spans="1:7" ht="14.65" thickBot="1" x14ac:dyDescent="0.5">
      <c r="A19" t="s">
        <v>47</v>
      </c>
    </row>
    <row r="20" spans="1:7" ht="14.65" thickBot="1" x14ac:dyDescent="0.5">
      <c r="B20" s="45" t="s">
        <v>43</v>
      </c>
      <c r="C20" s="45" t="s">
        <v>44</v>
      </c>
      <c r="D20" s="45" t="s">
        <v>45</v>
      </c>
      <c r="E20" s="45" t="s">
        <v>46</v>
      </c>
      <c r="F20" s="45" t="s">
        <v>48</v>
      </c>
    </row>
    <row r="21" spans="1:7" x14ac:dyDescent="0.45">
      <c r="B21" s="46" t="s">
        <v>55</v>
      </c>
      <c r="C21" s="46" t="s">
        <v>16</v>
      </c>
      <c r="D21" s="48">
        <v>25</v>
      </c>
      <c r="E21" s="48">
        <v>17.5</v>
      </c>
      <c r="F21" s="46" t="s">
        <v>56</v>
      </c>
    </row>
    <row r="22" spans="1:7" ht="14.65" thickBot="1" x14ac:dyDescent="0.5">
      <c r="B22" s="44" t="s">
        <v>66</v>
      </c>
      <c r="C22" s="44" t="s">
        <v>18</v>
      </c>
      <c r="D22" s="49">
        <v>2500</v>
      </c>
      <c r="E22" s="49">
        <v>2666.6666666666665</v>
      </c>
      <c r="F22" s="44" t="s">
        <v>56</v>
      </c>
    </row>
    <row r="25" spans="1:7" ht="14.65" thickBot="1" x14ac:dyDescent="0.5">
      <c r="A25" t="s">
        <v>49</v>
      </c>
    </row>
    <row r="26" spans="1:7" ht="14.65" thickBot="1" x14ac:dyDescent="0.5">
      <c r="B26" s="45" t="s">
        <v>43</v>
      </c>
      <c r="C26" s="45" t="s">
        <v>44</v>
      </c>
      <c r="D26" s="45" t="s">
        <v>50</v>
      </c>
      <c r="E26" s="45" t="s">
        <v>51</v>
      </c>
      <c r="F26" s="45" t="s">
        <v>52</v>
      </c>
      <c r="G26" s="45" t="s">
        <v>53</v>
      </c>
    </row>
    <row r="27" spans="1:7" x14ac:dyDescent="0.45">
      <c r="B27" s="46" t="s">
        <v>57</v>
      </c>
      <c r="C27" s="46" t="s">
        <v>17</v>
      </c>
      <c r="D27" s="48">
        <v>40</v>
      </c>
      <c r="E27" s="46" t="s">
        <v>62</v>
      </c>
      <c r="F27" s="46" t="s">
        <v>61</v>
      </c>
      <c r="G27" s="46">
        <v>2760</v>
      </c>
    </row>
    <row r="28" spans="1:7" x14ac:dyDescent="0.45">
      <c r="B28" s="46" t="s">
        <v>54</v>
      </c>
      <c r="C28" s="46" t="s">
        <v>7</v>
      </c>
      <c r="D28" s="48">
        <v>60000</v>
      </c>
      <c r="E28" s="46" t="s">
        <v>58</v>
      </c>
      <c r="F28" s="46" t="s">
        <v>59</v>
      </c>
      <c r="G28" s="46">
        <v>0</v>
      </c>
    </row>
    <row r="29" spans="1:7" ht="14.65" thickBot="1" x14ac:dyDescent="0.5">
      <c r="B29" s="44" t="s">
        <v>55</v>
      </c>
      <c r="C29" s="44" t="s">
        <v>16</v>
      </c>
      <c r="D29" s="47">
        <v>17.5</v>
      </c>
      <c r="E29" s="44" t="s">
        <v>60</v>
      </c>
      <c r="F29" s="44" t="s">
        <v>59</v>
      </c>
      <c r="G29" s="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zoomScale="196" zoomScaleNormal="196" workbookViewId="0">
      <selection activeCell="C5" sqref="C5"/>
    </sheetView>
  </sheetViews>
  <sheetFormatPr defaultRowHeight="14.25" x14ac:dyDescent="0.45"/>
  <cols>
    <col min="2" max="2" width="18.59765625" bestFit="1" customWidth="1"/>
    <col min="3" max="3" width="11.1328125" bestFit="1" customWidth="1"/>
    <col min="6" max="6" width="9.796875" bestFit="1" customWidth="1"/>
    <col min="7" max="7" width="9.53125" bestFit="1" customWidth="1"/>
    <col min="8" max="8" width="11.796875" bestFit="1" customWidth="1"/>
    <col min="9" max="9" width="11.9296875" bestFit="1" customWidth="1"/>
  </cols>
  <sheetData>
    <row r="1" spans="2:9" ht="14.65" thickBot="1" x14ac:dyDescent="0.5"/>
    <row r="2" spans="2:9" x14ac:dyDescent="0.45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 x14ac:dyDescent="0.45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 x14ac:dyDescent="0.4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4.65" thickBot="1" x14ac:dyDescent="0.5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4.65" thickBot="1" x14ac:dyDescent="0.5">
      <c r="B6" s="6" t="s">
        <v>10</v>
      </c>
      <c r="C6" s="7">
        <v>4</v>
      </c>
    </row>
    <row r="7" spans="2:9" ht="14.65" thickBot="1" x14ac:dyDescent="0.5"/>
    <row r="8" spans="2:9" x14ac:dyDescent="0.45">
      <c r="B8" s="25" t="s">
        <v>4</v>
      </c>
      <c r="C8" s="26"/>
    </row>
    <row r="9" spans="2:9" x14ac:dyDescent="0.45">
      <c r="B9" s="17" t="s">
        <v>11</v>
      </c>
      <c r="C9" s="18" t="s">
        <v>12</v>
      </c>
    </row>
    <row r="10" spans="2:9" x14ac:dyDescent="0.45">
      <c r="B10" s="19">
        <v>1</v>
      </c>
      <c r="C10" s="20">
        <f>IF($C$6&gt;=$B10,((($C$4-$C$3)*$C$5)/$C$6),0)</f>
        <v>15000</v>
      </c>
    </row>
    <row r="11" spans="2:9" x14ac:dyDescent="0.45">
      <c r="B11" s="19">
        <v>2</v>
      </c>
      <c r="C11" s="20">
        <f t="shared" ref="C11:C14" si="0">IF($C$6&gt;=$B11,((($C$4-$C$3)*$C$5)/$C$6),0)</f>
        <v>15000</v>
      </c>
    </row>
    <row r="12" spans="2:9" x14ac:dyDescent="0.45">
      <c r="B12" s="19">
        <v>3</v>
      </c>
      <c r="C12" s="20">
        <f t="shared" si="0"/>
        <v>15000</v>
      </c>
    </row>
    <row r="13" spans="2:9" x14ac:dyDescent="0.45">
      <c r="B13" s="19">
        <v>4</v>
      </c>
      <c r="C13" s="20">
        <f t="shared" si="0"/>
        <v>15000</v>
      </c>
    </row>
    <row r="14" spans="2:9" ht="14.65" thickBot="1" x14ac:dyDescent="0.5">
      <c r="B14" s="21">
        <v>5</v>
      </c>
      <c r="C14" s="22">
        <f t="shared" si="0"/>
        <v>0</v>
      </c>
    </row>
    <row r="15" spans="2:9" ht="15" thickTop="1" thickBot="1" x14ac:dyDescent="0.5">
      <c r="B15" s="23" t="s">
        <v>7</v>
      </c>
      <c r="C15" s="24">
        <f>SUM(C10:C14)</f>
        <v>60000</v>
      </c>
    </row>
  </sheetData>
  <scenarios current="0" sqref="C10:C15">
    <scenario name="Job 1" locked="1" count="4" user="Trinidad James" comment="Created by Trinidad James on 10/15/2025">
      <inputCells r="C3" val="25" numFmtId="6"/>
      <inputCells r="C4" val="40" numFmtId="6"/>
      <inputCells r="C5" val="2500" numFmtId="164"/>
      <inputCells r="C6" val="4"/>
    </scenario>
    <scenario name="Job 2" locked="1" count="4" user="Trinidad James" comment="Created by Trinidad James on 10/15/2025">
      <inputCells r="C3" val="30" numFmtId="6"/>
      <inputCells r="C4" val="50" numFmtId="6"/>
      <inputCells r="C5" val="3000" numFmtId="164"/>
      <inputCells r="C6" val="5"/>
    </scenario>
    <scenario name="Job 3" locked="1" count="4" user="Trinidad James" comment="Created by Trinidad James on 10/15/2025">
      <inputCells r="C3" val="20" numFmtId="6"/>
      <inputCells r="C4" val="35" numFmtId="6"/>
      <inputCells r="C5" val="2000" numFmtId="164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Scenario Summary</vt:lpstr>
      <vt:lpstr>Answer Report 2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Trinity Johnson</cp:lastModifiedBy>
  <dcterms:created xsi:type="dcterms:W3CDTF">2024-10-03T16:33:16Z</dcterms:created>
  <dcterms:modified xsi:type="dcterms:W3CDTF">2025-10-15T12:03:13Z</dcterms:modified>
</cp:coreProperties>
</file>